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verview" sheetId="1" r:id="rId1"/>
    <sheet name="Financial Snapshot" sheetId="2" r:id="rId2"/>
    <sheet name="Transaction Economics" sheetId="3" r:id="rId3"/>
    <sheet name="Illustrative Financing" sheetId="4" r:id="rId4"/>
    <sheet name="Return Scenario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60" formatCode="#,##0.0"/>
    <numFmt numFmtId="61" formatCode="0.0%"/>
    <numFmt numFmtId="62" formatCode="$0.00"/>
    <numFmt numFmtId="63" formatCode="$#,##0.0"/>
    <numFmt numFmtId="64" formatCode="0.0&quot;x&quot;"/>
    <numFmt numFmtId="65" formatCode="0.00&quot;x&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applyNumberFormat="1"/>
    <xf numFmtId="60" fontId="0" fillId="0" borderId="0" xfId="0" applyNumberFormat="1"/>
    <xf numFmtId="61" fontId="0" fillId="0" borderId="0" xfId="0" applyNumberFormat="1"/>
    <xf numFmtId="9" fontId="0" fillId="0" borderId="0" xfId="0" applyNumberFormat="1"/>
    <xf numFmtId="62" fontId="0" fillId="0" borderId="0" xfId="0" applyNumberFormat="1"/>
    <xf numFmtId="63" fontId="0" fillId="0" borderId="0" xfId="0" applyNumberFormat="1"/>
    <xf numFmtId="64" fontId="0" fillId="0" borderId="0" xfId="0" applyNumberFormat="1"/>
    <xf numFmtId="65"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8"/>
  <sheetViews>
    <sheetView workbookViewId="0"/>
  </sheetViews>
  <sheetData>
    <row r="1">
      <c r="A1" t="str">
        <v>PROS Holdings, Investment Overview</v>
      </c>
    </row>
    <row r="2">
      <c r="A2" t="str">
        <v/>
      </c>
    </row>
    <row r="3">
      <c r="A3" t="str">
        <v>Transaction Type</v>
      </c>
      <c r="B3" t="str">
        <v>Public to Private Buyout (Definitive Merger Agreement)</v>
      </c>
    </row>
    <row r="4">
      <c r="A4" t="str">
        <v>Sector</v>
      </c>
      <c r="B4" t="str">
        <v>Enterprise Software, AI Pricing and Revenue Management</v>
      </c>
    </row>
    <row r="5">
      <c r="A5" t="str">
        <v>Headquarters</v>
      </c>
      <c r="B5" t="str">
        <v>Houston, TX</v>
      </c>
    </row>
    <row r="6">
      <c r="A6" t="str">
        <v>Sponsor</v>
      </c>
      <c r="B6" t="str">
        <v>Thoma Bravo</v>
      </c>
    </row>
    <row r="7">
      <c r="A7" t="str">
        <v>Announced</v>
      </c>
      <c r="B7" t="str">
        <v>September 22, 2025</v>
      </c>
    </row>
    <row r="8">
      <c r="A8" t="str">
        <v>Closed</v>
      </c>
      <c r="B8" t="str">
        <v>December 2025</v>
      </c>
    </row>
    <row r="9">
      <c r="A9" t="str">
        <v>Price Per Share</v>
      </c>
      <c r="B9" t="str">
        <v>$23.25 in cash</v>
      </c>
    </row>
    <row r="10">
      <c r="A10" t="str">
        <v>Premium to Last Close</v>
      </c>
      <c r="B10" t="str">
        <v>41.7%, versus the close on Sep 19, 2025</v>
      </c>
    </row>
    <row r="11">
      <c r="A11" t="str">
        <v>Premium to 30 Day VWAP</v>
      </c>
      <c r="B11" t="str">
        <v>53.2%</v>
      </c>
    </row>
    <row r="12">
      <c r="A12" t="str">
        <v>Total Deal Value</v>
      </c>
      <c r="B12" t="str">
        <v>approximately $1.4B, all cash</v>
      </c>
    </row>
    <row r="13">
      <c r="A13" t="str">
        <v>Financing at Signing</v>
      </c>
      <c r="B13" t="str">
        <v>Equity commitment letter. No third party debt financing was disclosed in the definitive agreement.</v>
      </c>
    </row>
    <row r="14">
      <c r="A14" t="str">
        <v/>
      </c>
    </row>
    <row r="15">
      <c r="A15" t="str">
        <v>## Product</v>
      </c>
    </row>
    <row r="16">
      <c r="A16" t="str">
        <v>PROS builds AI driven pricing, revenue management, and digital retailing software. Its core customer base is airlines, more than 80 of them including Lufthansa, Air France-KLM, and JetBlue, where its offer management and dynamic pricing tools help carriers price seats and ancillaries in real time. A second, smaller business line sells similar pricing and configure price quote software into B2B manufacturing and distribution.</v>
      </c>
    </row>
    <row r="17">
      <c r="A17" t="str">
        <v/>
      </c>
    </row>
    <row r="18">
      <c r="A18" t="str">
        <v>## Investment Thesis</v>
      </c>
    </row>
    <row r="19">
      <c r="A19" t="str">
        <v>PROS has spent the last two years converting itself from a growth at any cost SaaS story into one that is finally proving out margin. Subscription ARR grew 10% in FY2024 to $283.7M, and Adjusted EBITDA roughly tripled from about $6M in FY2023 to $30M in FY2024, with FY2025 guidance calling for another 43% step up to the low $40M range. Thoma Bravo's playbook across its software portfolio is cost discipline and cross sell, and PROS, with a sticky airline customer base and a long tail of expansion revenue inside existing accounts, is a plausible candidate for that playbook. The open question is pace. A buyer paying close to 33 times FY2025E Adjusted EBITDA needs that margin curve to keep bending for several more years to earn an attractive return, not just stabilize.</v>
      </c>
    </row>
    <row r="20">
      <c r="A20" t="str">
        <v/>
      </c>
    </row>
    <row r="21">
      <c r="A21" t="str">
        <v>## Why This Deal Is Financed Differently Than a Classic LBO</v>
      </c>
    </row>
    <row r="22">
      <c r="A22" t="str">
        <v>Public filings show the agreement backed by an equity commitment letter rather than a disclosed debt package, unlike Thoma Bravo's larger 2025 and 2026 software take-privates, Verint's $2.675B leveraged loan and Dayforce's $6B leveraged loan package. That is most likely a function of PROS's still maturing margin profile rather than a change in sponsor strategy. It also means the clean textbook debt paydown engine that drives most LBO case studies is not the confirmed mechanic here. The financing and return sheets below treat the actual signed terms as fact, then layer in a clearly labeled illustrative leveraged structure Thoma Bravo could plausibly add once margins mature, which is the kind of judgment call an analyst actually has to flag in an investment committee memo rather than assume away.</v>
      </c>
    </row>
    <row r="23">
      <c r="A23" t="str">
        <v/>
      </c>
    </row>
    <row r="24">
      <c r="A24" t="str">
        <v>## Key Risks</v>
      </c>
    </row>
    <row r="25">
      <c r="A25" t="str">
        <v>Entry multiple risk. At roughly 33 times FY2025E Adjusted EBITDA and about 3.9 times FY2025E revenue, the price only works if margin expansion continues at close to its recent pace for multiple years.</v>
      </c>
    </row>
    <row r="26">
      <c r="A26" t="str">
        <v>Customer concentration. The airline vertical is cyclical and consolidated, so renewal or pricing pressure from a handful of large carriers would disproportionately hit revenue.</v>
      </c>
    </row>
    <row r="27">
      <c r="A27" t="str">
        <v>Financing market backdrop. Credit market commentary around other large 2025 to 2026 Thoma Bravo software deals has noted lenders seeking concessions on software debt, a reminder that layering leverage into this deal later is not guaranteed to be cheap or easy.</v>
      </c>
    </row>
    <row r="28">
      <c r="A28" t="str">
        <v>Self reported guidance. FY2025 figures used throughout this writeup are company guidance as of mid 2025, not audited actuals.</v>
      </c>
    </row>
  </sheetData>
  <ignoredErrors>
    <ignoredError numberStoredAsText="1" sqref="A1:B28"/>
  </ignoredErrors>
</worksheet>
</file>

<file path=xl/worksheets/sheet2.xml><?xml version="1.0" encoding="utf-8"?>
<worksheet xmlns="http://schemas.openxmlformats.org/spreadsheetml/2006/main" xmlns:r="http://schemas.openxmlformats.org/officeDocument/2006/relationships">
  <dimension ref="A1:D10"/>
  <sheetViews>
    <sheetView workbookViewId="0"/>
  </sheetViews>
  <sheetData>
    <row r="1">
      <c r="A1" t="str">
        <v>Metric</v>
      </c>
      <c r="B1" t="str">
        <v>FY2023A (approx.)</v>
      </c>
      <c r="C1" t="str">
        <v>FY2024A</v>
      </c>
      <c r="D1" t="str">
        <v>FY2025E (guidance midpoint)</v>
      </c>
    </row>
    <row r="2">
      <c r="A2" t="str">
        <v>Total Revenue ($M)</v>
      </c>
      <c r="B2" s="1">
        <f>C2/(1+C3)</f>
        <v>303.68</v>
      </c>
      <c r="C2" s="1">
        <v>330.37</v>
      </c>
      <c r="D2" s="1">
        <v>361</v>
      </c>
    </row>
    <row r="3">
      <c r="A3" t="str">
        <v>Total Revenue Growth</v>
      </c>
      <c r="B3" t="str">
        <v>n/a</v>
      </c>
      <c r="C3" s="2">
        <v>0.0878</v>
      </c>
      <c r="D3" s="2">
        <f>D2/C2-1</f>
        <v>0.0927</v>
      </c>
    </row>
    <row r="4">
      <c r="A4" t="str">
        <v>Subscription ARR ($M)</v>
      </c>
      <c r="B4" t="str">
        <v>n/a</v>
      </c>
      <c r="C4">
        <v>283.7</v>
      </c>
      <c r="D4" t="str">
        <v>n/a</v>
      </c>
    </row>
    <row r="5">
      <c r="A5" t="str">
        <v>Subscription ARR Growth</v>
      </c>
      <c r="B5" t="str">
        <v>n/a</v>
      </c>
      <c r="C5" s="3">
        <v>0.1</v>
      </c>
      <c r="D5" t="str">
        <v>n/a</v>
      </c>
    </row>
    <row r="6">
      <c r="A6" t="str">
        <v>Subscription Revenue Growth</v>
      </c>
      <c r="B6" t="str">
        <v>n/a</v>
      </c>
      <c r="C6" s="3">
        <v>0.14</v>
      </c>
      <c r="D6" s="3">
        <v>0.11</v>
      </c>
    </row>
    <row r="7">
      <c r="A7" t="str">
        <v>Adjusted EBITDA ($M)</v>
      </c>
      <c r="B7" s="1">
        <f>C7-C8</f>
        <v>6</v>
      </c>
      <c r="C7" s="1">
        <v>30</v>
      </c>
      <c r="D7" s="1">
        <v>43</v>
      </c>
    </row>
    <row r="8">
      <c r="A8" t="str">
        <v>Adjusted EBITDA Y/Y Improvement ($M)</v>
      </c>
      <c r="B8" t="str">
        <v>n/a</v>
      </c>
      <c r="C8" s="1">
        <v>24</v>
      </c>
      <c r="D8" s="1">
        <f>D7-C7</f>
        <v>13</v>
      </c>
    </row>
    <row r="9">
      <c r="A9" t="str">
        <v>Adjusted EBITDA Margin</v>
      </c>
      <c r="B9" s="2">
        <f>B7/B2</f>
        <v>0.0198</v>
      </c>
      <c r="C9" s="2">
        <f>C7/C2</f>
        <v>0.0908</v>
      </c>
      <c r="D9" s="2">
        <f>D7/D2</f>
        <v>0.1191</v>
      </c>
    </row>
    <row r="10">
      <c r="A10" t="str">
        <v>FY2023 figures are back solved by this writeup from the reported 2024 growth rate and dollar improvement, they are not directly quoted figures in a single source. FY2025 figures reflect company guidance ranges as of mid 2025, not actuals.</v>
      </c>
      <c r="B10" t="str">
        <v/>
      </c>
      <c r="C10" t="str">
        <v/>
      </c>
      <c r="D10" t="str">
        <v/>
      </c>
    </row>
  </sheetData>
  <ignoredErrors>
    <ignoredError numberStoredAsText="1" sqref="A1:D10"/>
  </ignoredErrors>
</worksheet>
</file>

<file path=xl/worksheets/sheet3.xml><?xml version="1.0" encoding="utf-8"?>
<worksheet xmlns="http://schemas.openxmlformats.org/spreadsheetml/2006/main" xmlns:r="http://schemas.openxmlformats.org/officeDocument/2006/relationships">
  <dimension ref="A1:C10"/>
  <sheetViews>
    <sheetView workbookViewId="0"/>
  </sheetViews>
  <sheetData>
    <row r="1">
      <c r="A1" t="str">
        <v>Metric</v>
      </c>
      <c r="B1" t="str">
        <v>Value</v>
      </c>
      <c r="C1" t="str">
        <v>Basis</v>
      </c>
    </row>
    <row r="2">
      <c r="A2" t="str">
        <v>Price Per Share</v>
      </c>
      <c r="B2" s="4">
        <v>23.25</v>
      </c>
      <c r="C2" t="str">
        <v>Confirmed, definitive agreement</v>
      </c>
    </row>
    <row r="3">
      <c r="A3" t="str">
        <v>Total Deal Value ($mm)</v>
      </c>
      <c r="B3" s="5">
        <v>1400</v>
      </c>
      <c r="C3" t="str">
        <v>Confirmed, all cash</v>
      </c>
    </row>
    <row r="4">
      <c r="A4" t="str">
        <v>Premium to Last Close</v>
      </c>
      <c r="B4" s="2">
        <v>0.417</v>
      </c>
      <c r="C4" t="str">
        <v>Confirmed, vs Sep 19, 2025 close</v>
      </c>
    </row>
    <row r="5">
      <c r="A5" t="str">
        <v>Premium to 30 Day VWAP</v>
      </c>
      <c r="B5" s="2">
        <v>0.532</v>
      </c>
      <c r="C5" t="str">
        <v>Confirmed</v>
      </c>
    </row>
    <row r="6">
      <c r="A6" t="str">
        <v>Implied EV / FY2024 Revenue</v>
      </c>
      <c r="B6" s="6">
        <f>B3/'Financial Snapshot'!C2</f>
        <v>4.2</v>
      </c>
      <c r="C6" t="str">
        <v>Derived by this writeup</v>
      </c>
    </row>
    <row r="7">
      <c r="A7" t="str">
        <v>Implied EV / FY2024 Adj. EBITDA</v>
      </c>
      <c r="B7" s="6">
        <f>B3/'Financial Snapshot'!C7</f>
        <v>46.7</v>
      </c>
      <c r="C7" t="str">
        <v>Derived by this writeup</v>
      </c>
    </row>
    <row r="8">
      <c r="A8" t="str">
        <v>Implied EV / FY2025E Revenue</v>
      </c>
      <c r="B8" s="6">
        <f>B3/'Financial Snapshot'!D2</f>
        <v>3.9</v>
      </c>
      <c r="C8" t="str">
        <v>Derived, uses guidance midpoint</v>
      </c>
    </row>
    <row r="9">
      <c r="A9" t="str">
        <v>Implied EV / FY2025E Adj. EBITDA</v>
      </c>
      <c r="B9" s="6">
        <f>B3/'Financial Snapshot'!D7</f>
        <v>32.6</v>
      </c>
      <c r="C9" t="str">
        <v>Derived, uses guidance midpoint</v>
      </c>
    </row>
    <row r="10">
      <c r="A10" t="str">
        <v>All multiples on this sheet are calculated by this writeup from the public deal value and reported or guided financials. They are not multiples stated by PROS or Thoma Bravo.</v>
      </c>
      <c r="B10" t="str">
        <v/>
      </c>
      <c r="C10" t="str">
        <v/>
      </c>
    </row>
  </sheetData>
  <ignoredErrors>
    <ignoredError numberStoredAsText="1" sqref="A1:C10"/>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sheetData>
    <row r="1">
      <c r="A1" t="str">
        <v>Sources</v>
      </c>
      <c r="B1" t="str">
        <v>$mm</v>
      </c>
      <c r="C1" t="str">
        <v>% Total</v>
      </c>
      <c r="D1" t="str">
        <v>Uses</v>
      </c>
      <c r="E1" t="str">
        <v>$mm</v>
      </c>
      <c r="F1" t="str">
        <v>% Total</v>
      </c>
    </row>
    <row r="2">
      <c r="A2" t="str">
        <v>The actual signed agreement is funded through an equity commitment letter with no disclosed debt. The structure below is a hypothetical leveraged financing Thoma Bravo could layer in once margins mature. It is illustrative only, not a confirmed or disclosed deal term.</v>
      </c>
      <c r="B2" t="str">
        <v/>
      </c>
      <c r="C2" t="str">
        <v/>
      </c>
      <c r="D2" t="str">
        <v/>
      </c>
      <c r="E2" t="str">
        <v/>
      </c>
      <c r="F2" t="str">
        <v/>
      </c>
    </row>
    <row r="3">
      <c r="A3" t="str">
        <v>Illustrative Term Loan (4.0x FY25E EBITDA)</v>
      </c>
      <c r="B3" s="1">
        <f>4*'Financial Snapshot'!D7</f>
        <v>172</v>
      </c>
      <c r="C3" s="2">
        <f>B3/B5</f>
        <v>0.12</v>
      </c>
      <c r="D3" t="str">
        <v>Purchase of Equity</v>
      </c>
      <c r="E3" s="1">
        <f>'Transaction Economics'!B3</f>
        <v>1400</v>
      </c>
      <c r="F3" s="2">
        <f>E3/E5</f>
        <v>0.98</v>
      </c>
    </row>
    <row r="4">
      <c r="A4" t="str">
        <v>Thoma Bravo Equity (plug)</v>
      </c>
      <c r="B4" s="1">
        <f>E5-B3</f>
        <v>1256</v>
      </c>
      <c r="C4" s="2">
        <f>B4/B5</f>
        <v>0.88</v>
      </c>
      <c r="D4" t="str">
        <v>Transaction Fees (est., 2% of deal value)</v>
      </c>
      <c r="E4" s="1">
        <f>0.02*'Transaction Economics'!B3</f>
        <v>28</v>
      </c>
      <c r="F4" s="2">
        <f>E4/E5</f>
        <v>0.02</v>
      </c>
    </row>
    <row r="5">
      <c r="A5" t="str">
        <v>Total Sources</v>
      </c>
      <c r="B5" s="1">
        <f>SUM(B3:B4)</f>
        <v>1428</v>
      </c>
      <c r="C5" s="2">
        <f>SUM(C3:C4)</f>
        <v>1</v>
      </c>
      <c r="D5" t="str">
        <v>Total Uses</v>
      </c>
      <c r="E5" s="1">
        <f>SUM(E3:E4)</f>
        <v>1428</v>
      </c>
      <c r="F5" s="2">
        <f>SUM(F3:F4)</f>
        <v>1</v>
      </c>
    </row>
  </sheetData>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I5"/>
  <sheetViews>
    <sheetView workbookViewId="0"/>
  </sheetViews>
  <sheetData>
    <row r="1">
      <c r="A1" t="str">
        <v>Scenario</v>
      </c>
      <c r="B1" t="str">
        <v>5Yr Revenue CAGR</v>
      </c>
      <c r="C1" t="str">
        <v>Exit EBITDA Margin</v>
      </c>
      <c r="D1" t="str">
        <v>Exit Multiple</v>
      </c>
      <c r="E1" t="str">
        <v>Exit EV ($mm)</v>
      </c>
      <c r="F1" t="str">
        <v>Net Debt at Exit ($mm)</v>
      </c>
      <c r="G1" t="str">
        <v>Sponsor Equity at Exit ($mm)</v>
      </c>
      <c r="H1" t="str">
        <v>MOIC</v>
      </c>
      <c r="I1" t="str">
        <v>IRR</v>
      </c>
    </row>
    <row r="2">
      <c r="A2" t="str">
        <v>Illustrative scenarios built by this writeup to stress test the entry multiple against a range of margin expansion outcomes. Not Thoma Bravo guidance, not confirmed deal economics, and not investment advice.</v>
      </c>
      <c r="B2" t="str">
        <v/>
      </c>
      <c r="C2" t="str">
        <v/>
      </c>
      <c r="D2" t="str">
        <v/>
      </c>
      <c r="E2" t="str">
        <v/>
      </c>
      <c r="F2" t="str">
        <v/>
      </c>
      <c r="G2" t="str">
        <v/>
      </c>
      <c r="H2" t="str">
        <v/>
      </c>
      <c r="I2" t="str">
        <v/>
      </c>
    </row>
    <row r="3">
      <c r="A3" t="str">
        <v>Bear</v>
      </c>
      <c r="B3" s="3">
        <v>0.04</v>
      </c>
      <c r="C3" s="3">
        <v>0.2</v>
      </c>
      <c r="D3" s="6">
        <v>13</v>
      </c>
      <c r="E3" s="1">
        <f>('Financial Snapshot'!D2*(1+B3)^5)*C3*D3</f>
        <v>1141.9</v>
      </c>
      <c r="F3" s="1">
        <v>120</v>
      </c>
      <c r="G3" s="1">
        <f>E3-F3</f>
        <v>1021.9</v>
      </c>
      <c r="H3" s="7">
        <f>G3/'Illustrative Financing'!B4</f>
        <v>0.8135</v>
      </c>
      <c r="I3" s="2">
        <f>H3^(1/5)-1</f>
        <v>-0.0405</v>
      </c>
    </row>
    <row r="4">
      <c r="A4" t="str">
        <v>Base</v>
      </c>
      <c r="B4" s="3">
        <v>0.07</v>
      </c>
      <c r="C4" s="3">
        <v>0.28</v>
      </c>
      <c r="D4" s="6">
        <v>16</v>
      </c>
      <c r="E4" s="1">
        <f>('Financial Snapshot'!D2*(1+B4)^5)*C4*D4</f>
        <v>2267.4</v>
      </c>
      <c r="F4" s="1">
        <v>40</v>
      </c>
      <c r="G4" s="1">
        <f>E4-F4</f>
        <v>2227.4</v>
      </c>
      <c r="H4" s="7">
        <f>G4/'Illustrative Financing'!B4</f>
        <v>1.7739</v>
      </c>
      <c r="I4" s="2">
        <f>H4^(1/5)-1</f>
        <v>0.1214</v>
      </c>
    </row>
    <row r="5">
      <c r="A5" t="str">
        <v>Bull</v>
      </c>
      <c r="B5" s="3">
        <v>0.1</v>
      </c>
      <c r="C5" s="3">
        <v>0.35</v>
      </c>
      <c r="D5" s="6">
        <v>18</v>
      </c>
      <c r="E5" s="1">
        <f>('Financial Snapshot'!D2*(1+B5)^5)*C5*D5</f>
        <v>3663</v>
      </c>
      <c r="F5" s="1">
        <v>0</v>
      </c>
      <c r="G5" s="1">
        <f>E5-F5</f>
        <v>3663</v>
      </c>
      <c r="H5" s="7">
        <f>G5/'Illustrative Financing'!B4</f>
        <v>2.9163</v>
      </c>
      <c r="I5" s="2">
        <f>H5^(1/5)-1</f>
        <v>0.2388</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Overview</vt:lpstr>
      <vt:lpstr>Financial Snapshot</vt:lpstr>
      <vt:lpstr>Transaction Economics</vt:lpstr>
      <vt:lpstr>Illustrative Financing</vt:lpstr>
      <vt:lpstr>Return Scenarios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